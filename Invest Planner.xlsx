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Cliente\Desktop\DIO - Excel\"/>
    </mc:Choice>
  </mc:AlternateContent>
  <bookViews>
    <workbookView xWindow="0" yWindow="0" windowWidth="20490" windowHeight="7905" tabRatio="345"/>
  </bookViews>
  <sheets>
    <sheet name="INVEST PLANNER" sheetId="1" r:id="rId1"/>
    <sheet name="Investimento por perfil e tipo" sheetId="2" state="hidden" r:id="rId2"/>
  </sheets>
  <definedNames>
    <definedName name="anos">'INVEST PLANNER'!$D$9</definedName>
    <definedName name="aporte">'INVEST PLANNER'!$D$8</definedName>
    <definedName name="investimento">'INVEST PLANNER'!$D$8</definedName>
    <definedName name="investimento_mensal">'INVEST PLANNER'!$D$8</definedName>
    <definedName name="patrimonio">'INVEST PLANNER'!$D$11</definedName>
    <definedName name="qtd_anos">'INVEST PLANNER'!$D$9</definedName>
    <definedName name="rendimento_carteira">'INVEST PLANNER'!$D$4</definedName>
    <definedName name="salario">'INVEST PLANNER'!$D$3</definedName>
    <definedName name="sugestao_investimento">'INVEST PLANNER'!$D$5</definedName>
    <definedName name="taxa_mensal">'INVEST PLANNER'!$D$10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9" i="1" l="1"/>
  <c r="C30" i="1"/>
  <c r="C31" i="1"/>
  <c r="C32" i="1"/>
  <c r="C33" i="1"/>
  <c r="C28" i="1"/>
  <c r="D11" i="1"/>
  <c r="D15" i="1" l="1"/>
  <c r="D12" i="1"/>
  <c r="D5" i="1" l="1"/>
  <c r="D8" i="1" s="1"/>
  <c r="A9" i="2"/>
  <c r="A10" i="2"/>
  <c r="A11" i="2"/>
  <c r="A12" i="2"/>
  <c r="A13" i="2"/>
  <c r="A14" i="2"/>
  <c r="A15" i="2"/>
  <c r="A16" i="2"/>
  <c r="A17" i="2"/>
  <c r="A18" i="2"/>
  <c r="A19" i="2"/>
  <c r="A20" i="2"/>
  <c r="A4" i="2"/>
  <c r="A5" i="2"/>
  <c r="A6" i="2"/>
  <c r="A7" i="2"/>
  <c r="A8" i="2"/>
  <c r="A3" i="2"/>
  <c r="C25" i="1"/>
  <c r="C16" i="1" l="1"/>
  <c r="D16" i="1" s="1"/>
  <c r="C15" i="1"/>
  <c r="C17" i="1"/>
  <c r="D17" i="1" s="1"/>
  <c r="C18" i="1"/>
  <c r="D18" i="1" s="1"/>
  <c r="C19" i="1"/>
  <c r="D19" i="1" s="1"/>
  <c r="D28" i="1"/>
  <c r="D33" i="1"/>
  <c r="D31" i="1"/>
  <c r="D30" i="1"/>
  <c r="D32" i="1"/>
  <c r="D29" i="1"/>
  <c r="D34" i="1" l="1"/>
</calcChain>
</file>

<file path=xl/sharedStrings.xml><?xml version="1.0" encoding="utf-8"?>
<sst xmlns="http://schemas.openxmlformats.org/spreadsheetml/2006/main" count="71" uniqueCount="36">
  <si>
    <t>INVESTIMENTO MENSAL</t>
  </si>
  <si>
    <t>Salário</t>
  </si>
  <si>
    <t>CONFIGURAÇÕES</t>
  </si>
  <si>
    <t>Conservador</t>
  </si>
  <si>
    <t>Moderado</t>
  </si>
  <si>
    <t>Agressivo</t>
  </si>
  <si>
    <t>PERFIL</t>
  </si>
  <si>
    <t>TIPO DE FII</t>
  </si>
  <si>
    <t>Percentual Sugerido</t>
  </si>
  <si>
    <t>PAPEL</t>
  </si>
  <si>
    <t>TIJOLO</t>
  </si>
  <si>
    <t>HÍBRIDOS</t>
  </si>
  <si>
    <t>FOFs</t>
  </si>
  <si>
    <t>DESENVOLVIMENTO</t>
  </si>
  <si>
    <t>HOTELARIAS</t>
  </si>
  <si>
    <t>%</t>
  </si>
  <si>
    <t>CHAVE</t>
  </si>
  <si>
    <t>CENÁRIOS</t>
  </si>
  <si>
    <t>DIVIDENDOS</t>
  </si>
  <si>
    <t>Valor do Investimento</t>
  </si>
  <si>
    <t>Sugestão de investimento (30% salário)</t>
  </si>
  <si>
    <t>Dividendos mensais</t>
  </si>
  <si>
    <t>Patrimônio acumulado</t>
  </si>
  <si>
    <t>Por quantos anos</t>
  </si>
  <si>
    <t>Quanto em 30 anos?</t>
  </si>
  <si>
    <t>Quanto em 20 anos?</t>
  </si>
  <si>
    <t>Quanto em 10 anos?</t>
  </si>
  <si>
    <t>Quanto em 5 anos?</t>
  </si>
  <si>
    <t>Quanto em 2 anos?</t>
  </si>
  <si>
    <t>Taxa de rendimento média mensal</t>
  </si>
  <si>
    <t>Selecione o perfil</t>
  </si>
  <si>
    <t>Investimento mensal</t>
  </si>
  <si>
    <t>Rendimento médio mensal carteira</t>
  </si>
  <si>
    <t>PATRIMÔNIO</t>
  </si>
  <si>
    <t>DISTRIBUIÇÃO DO INVESTIMENTO SUGERIDA</t>
  </si>
  <si>
    <t>Valor investido por mês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</si>
</sst>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0"/>
      <name val="Segoe UI Semibold"/>
      <family val="2"/>
    </font>
    <font>
      <sz val="12"/>
      <color theme="1"/>
      <name val="Segoe UI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b/>
      <sz val="12"/>
      <color theme="1"/>
      <name val="Segoe UI"/>
      <family val="2"/>
    </font>
  </fonts>
  <fills count="10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hair">
        <color theme="0" tint="-0.14996795556505021"/>
      </right>
      <top/>
      <bottom style="hair">
        <color theme="0" tint="-0.14996795556505021"/>
      </bottom>
      <diagonal/>
    </border>
    <border>
      <left style="hair">
        <color theme="0" tint="-0.14996795556505021"/>
      </left>
      <right style="hair">
        <color theme="0" tint="-0.14996795556505021"/>
      </right>
      <top/>
      <bottom style="hair">
        <color theme="0" tint="-0.14996795556505021"/>
      </bottom>
      <diagonal/>
    </border>
    <border>
      <left style="hair">
        <color theme="0" tint="-0.14996795556505021"/>
      </left>
      <right style="medium">
        <color indexed="64"/>
      </right>
      <top/>
      <bottom style="hair">
        <color theme="0" tint="-0.14996795556505021"/>
      </bottom>
      <diagonal/>
    </border>
    <border>
      <left style="medium">
        <color indexed="64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theme="0" tint="-0.14996795556505021"/>
      </left>
      <right style="medium">
        <color indexed="64"/>
      </right>
      <top style="hair">
        <color theme="0" tint="-0.14996795556505021"/>
      </top>
      <bottom style="hair">
        <color theme="0" tint="-0.14996795556505021"/>
      </bottom>
      <diagonal/>
    </border>
    <border>
      <left style="medium">
        <color indexed="64"/>
      </left>
      <right style="hair">
        <color theme="0" tint="-0.14996795556505021"/>
      </right>
      <top style="hair">
        <color theme="0" tint="-0.14996795556505021"/>
      </top>
      <bottom style="medium">
        <color indexed="64"/>
      </bottom>
      <diagonal/>
    </border>
    <border>
      <left style="hair">
        <color theme="0" tint="-0.14996795556505021"/>
      </left>
      <right style="medium">
        <color indexed="64"/>
      </right>
      <top style="hair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/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hair">
        <color theme="0" tint="-0.14996795556505021"/>
      </left>
      <right style="hair">
        <color theme="0" tint="-0.14996795556505021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4" fillId="9" borderId="0" applyNumberFormat="0" applyBorder="0" applyAlignment="0" applyProtection="0"/>
  </cellStyleXfs>
  <cellXfs count="73">
    <xf numFmtId="0" fontId="0" fillId="0" borderId="0" xfId="0"/>
    <xf numFmtId="0" fontId="4" fillId="0" borderId="0" xfId="0" applyFont="1"/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left" indent="3"/>
    </xf>
    <xf numFmtId="164" fontId="7" fillId="4" borderId="6" xfId="0" applyNumberFormat="1" applyFont="1" applyFill="1" applyBorder="1" applyAlignment="1">
      <alignment horizontal="center"/>
    </xf>
    <xf numFmtId="164" fontId="7" fillId="4" borderId="7" xfId="0" applyNumberFormat="1" applyFont="1" applyFill="1" applyBorder="1" applyAlignment="1">
      <alignment horizontal="center"/>
    </xf>
    <xf numFmtId="0" fontId="6" fillId="4" borderId="8" xfId="0" applyFont="1" applyFill="1" applyBorder="1" applyAlignment="1">
      <alignment horizontal="left" indent="3"/>
    </xf>
    <xf numFmtId="164" fontId="7" fillId="4" borderId="9" xfId="0" applyNumberFormat="1" applyFont="1" applyFill="1" applyBorder="1" applyAlignment="1">
      <alignment horizontal="center"/>
    </xf>
    <xf numFmtId="0" fontId="6" fillId="4" borderId="10" xfId="0" applyFont="1" applyFill="1" applyBorder="1" applyAlignment="1">
      <alignment horizontal="left" indent="3"/>
    </xf>
    <xf numFmtId="164" fontId="7" fillId="4" borderId="11" xfId="0" applyNumberFormat="1" applyFont="1" applyFill="1" applyBorder="1" applyAlignment="1">
      <alignment horizontal="center"/>
    </xf>
    <xf numFmtId="8" fontId="8" fillId="4" borderId="17" xfId="0" applyNumberFormat="1" applyFont="1" applyFill="1" applyBorder="1" applyAlignment="1">
      <alignment horizontal="center"/>
    </xf>
    <xf numFmtId="8" fontId="8" fillId="4" borderId="20" xfId="0" applyNumberFormat="1" applyFont="1" applyFill="1" applyBorder="1" applyAlignment="1">
      <alignment horizontal="center"/>
    </xf>
    <xf numFmtId="164" fontId="7" fillId="0" borderId="14" xfId="1" applyNumberFormat="1" applyFont="1" applyBorder="1" applyAlignment="1">
      <alignment horizontal="center"/>
    </xf>
    <xf numFmtId="10" fontId="7" fillId="0" borderId="17" xfId="0" applyNumberFormat="1" applyFont="1" applyBorder="1" applyAlignment="1">
      <alignment horizontal="center"/>
    </xf>
    <xf numFmtId="164" fontId="7" fillId="5" borderId="20" xfId="0" applyNumberFormat="1" applyFont="1" applyFill="1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  <xf numFmtId="9" fontId="0" fillId="0" borderId="4" xfId="0" applyNumberFormat="1" applyBorder="1" applyAlignment="1">
      <alignment horizontal="center"/>
    </xf>
    <xf numFmtId="0" fontId="4" fillId="7" borderId="0" xfId="0" applyFont="1" applyFill="1"/>
    <xf numFmtId="0" fontId="4" fillId="7" borderId="0" xfId="0" applyFont="1" applyFill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9" fontId="0" fillId="0" borderId="0" xfId="0" applyNumberFormat="1" applyFill="1" applyAlignment="1">
      <alignment horizontal="center"/>
    </xf>
    <xf numFmtId="0" fontId="2" fillId="0" borderId="0" xfId="3" applyFill="1"/>
    <xf numFmtId="9" fontId="2" fillId="0" borderId="0" xfId="2" applyFont="1" applyFill="1"/>
    <xf numFmtId="164" fontId="7" fillId="4" borderId="21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3" fillId="6" borderId="24" xfId="0" applyFont="1" applyFill="1" applyBorder="1" applyAlignment="1">
      <alignment horizontal="center"/>
    </xf>
    <xf numFmtId="0" fontId="3" fillId="6" borderId="0" xfId="0" applyFont="1" applyFill="1" applyBorder="1" applyAlignment="1">
      <alignment horizontal="center"/>
    </xf>
    <xf numFmtId="0" fontId="3" fillId="6" borderId="25" xfId="0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9" fontId="0" fillId="0" borderId="0" xfId="0" applyNumberFormat="1" applyBorder="1" applyAlignment="1">
      <alignment horizontal="center"/>
    </xf>
    <xf numFmtId="164" fontId="0" fillId="5" borderId="25" xfId="0" applyNumberFormat="1" applyFill="1" applyBorder="1" applyAlignment="1">
      <alignment horizontal="center"/>
    </xf>
    <xf numFmtId="0" fontId="3" fillId="6" borderId="23" xfId="0" applyFont="1" applyFill="1" applyBorder="1"/>
    <xf numFmtId="0" fontId="3" fillId="6" borderId="4" xfId="0" applyFont="1" applyFill="1" applyBorder="1"/>
    <xf numFmtId="164" fontId="3" fillId="6" borderId="22" xfId="0" applyNumberFormat="1" applyFont="1" applyFill="1" applyBorder="1" applyAlignment="1">
      <alignment horizontal="center"/>
    </xf>
    <xf numFmtId="0" fontId="2" fillId="0" borderId="25" xfId="3" applyFill="1" applyBorder="1"/>
    <xf numFmtId="0" fontId="2" fillId="0" borderId="0" xfId="3" applyFill="1" applyBorder="1" applyAlignment="1">
      <alignment horizontal="center"/>
    </xf>
    <xf numFmtId="0" fontId="3" fillId="0" borderId="24" xfId="0" applyFont="1" applyFill="1" applyBorder="1"/>
    <xf numFmtId="164" fontId="3" fillId="0" borderId="0" xfId="1" applyNumberFormat="1" applyFont="1" applyFill="1" applyBorder="1" applyAlignment="1">
      <alignment horizontal="center"/>
    </xf>
    <xf numFmtId="0" fontId="3" fillId="0" borderId="25" xfId="0" applyFont="1" applyFill="1" applyBorder="1"/>
    <xf numFmtId="0" fontId="0" fillId="0" borderId="0" xfId="0" applyAlignment="1">
      <alignment vertical="center"/>
    </xf>
    <xf numFmtId="0" fontId="2" fillId="0" borderId="24" xfId="3" applyFill="1" applyBorder="1" applyAlignment="1">
      <alignment horizontal="left" indent="1"/>
    </xf>
    <xf numFmtId="0" fontId="5" fillId="0" borderId="24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3" fillId="6" borderId="24" xfId="0" applyFont="1" applyFill="1" applyBorder="1" applyAlignment="1">
      <alignment horizontal="left" indent="1"/>
    </xf>
    <xf numFmtId="164" fontId="3" fillId="6" borderId="0" xfId="1" applyNumberFormat="1" applyFont="1" applyFill="1" applyBorder="1" applyAlignment="1">
      <alignment horizontal="center"/>
    </xf>
    <xf numFmtId="164" fontId="7" fillId="0" borderId="14" xfId="0" applyNumberFormat="1" applyFont="1" applyBorder="1" applyAlignment="1">
      <alignment horizontal="center"/>
    </xf>
    <xf numFmtId="0" fontId="7" fillId="0" borderId="17" xfId="0" applyFont="1" applyBorder="1" applyAlignment="1">
      <alignment horizontal="center"/>
    </xf>
    <xf numFmtId="0" fontId="3" fillId="6" borderId="25" xfId="0" applyFont="1" applyFill="1" applyBorder="1"/>
    <xf numFmtId="0" fontId="4" fillId="9" borderId="24" xfId="4" applyBorder="1" applyAlignment="1">
      <alignment horizontal="left" vertical="center" indent="1"/>
    </xf>
    <xf numFmtId="0" fontId="4" fillId="9" borderId="0" xfId="4" applyBorder="1" applyAlignment="1">
      <alignment horizontal="left" vertical="center" indent="1"/>
    </xf>
    <xf numFmtId="0" fontId="4" fillId="9" borderId="25" xfId="4" applyBorder="1" applyAlignment="1">
      <alignment horizontal="left" vertical="center" indent="1"/>
    </xf>
    <xf numFmtId="0" fontId="6" fillId="5" borderId="12" xfId="0" applyFont="1" applyFill="1" applyBorder="1" applyAlignment="1">
      <alignment horizontal="left" indent="3"/>
    </xf>
    <xf numFmtId="0" fontId="6" fillId="5" borderId="13" xfId="0" applyFont="1" applyFill="1" applyBorder="1" applyAlignment="1">
      <alignment horizontal="left" indent="3"/>
    </xf>
    <xf numFmtId="0" fontId="6" fillId="5" borderId="15" xfId="0" applyFont="1" applyFill="1" applyBorder="1" applyAlignment="1">
      <alignment horizontal="left" indent="3"/>
    </xf>
    <xf numFmtId="0" fontId="6" fillId="5" borderId="16" xfId="0" applyFont="1" applyFill="1" applyBorder="1" applyAlignment="1">
      <alignment horizontal="left" indent="3"/>
    </xf>
    <xf numFmtId="0" fontId="6" fillId="5" borderId="18" xfId="0" applyFont="1" applyFill="1" applyBorder="1" applyAlignment="1">
      <alignment horizontal="left" indent="3"/>
    </xf>
    <xf numFmtId="0" fontId="6" fillId="5" borderId="19" xfId="0" applyFont="1" applyFill="1" applyBorder="1" applyAlignment="1">
      <alignment horizontal="left" indent="3"/>
    </xf>
    <xf numFmtId="0" fontId="9" fillId="4" borderId="15" xfId="0" applyFont="1" applyFill="1" applyBorder="1" applyAlignment="1">
      <alignment horizontal="left" indent="3"/>
    </xf>
    <xf numFmtId="0" fontId="9" fillId="4" borderId="16" xfId="0" applyFont="1" applyFill="1" applyBorder="1" applyAlignment="1">
      <alignment horizontal="left" indent="3"/>
    </xf>
    <xf numFmtId="0" fontId="9" fillId="4" borderId="18" xfId="0" applyFont="1" applyFill="1" applyBorder="1" applyAlignment="1">
      <alignment horizontal="left" indent="3"/>
    </xf>
    <xf numFmtId="0" fontId="9" fillId="4" borderId="19" xfId="0" applyFont="1" applyFill="1" applyBorder="1" applyAlignment="1">
      <alignment horizontal="left" indent="3"/>
    </xf>
    <xf numFmtId="0" fontId="5" fillId="3" borderId="1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5" fillId="8" borderId="3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</cellXfs>
  <cellStyles count="5">
    <cellStyle name="Ênfase6" xfId="4" builtinId="49"/>
    <cellStyle name="Moeda" xfId="1" builtinId="4"/>
    <cellStyle name="Neutra" xfId="3" builtinId="28"/>
    <cellStyle name="Normal" xfId="0" builtinId="0"/>
    <cellStyle name="Porcentagem" xfId="2" builtinId="5"/>
  </cellStyles>
  <dxfs count="0"/>
  <tableStyles count="0" defaultTableStyle="TableStyleMedium2" defaultPivotStyle="PivotStyleLight16"/>
  <colors>
    <mruColors>
      <color rgb="FFE2BD7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'INVEST PLANNER'!$C$27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'INVEST PLANNER'!$B$28:$B$33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'INVEST PLANNER'!$C$28:$C$33</c:f>
              <c:numCache>
                <c:formatCode>0%</c:formatCode>
                <c:ptCount val="6"/>
                <c:pt idx="0">
                  <c:v>0.5</c:v>
                </c:pt>
                <c:pt idx="1">
                  <c:v>0.1</c:v>
                </c:pt>
                <c:pt idx="2">
                  <c:v>0.05</c:v>
                </c:pt>
                <c:pt idx="3">
                  <c:v>0.05</c:v>
                </c:pt>
                <c:pt idx="4">
                  <c:v>0.2</c:v>
                </c:pt>
                <c:pt idx="5">
                  <c:v>0.1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A29-4386-8C2E-9F990CFD8A7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1215838</xdr:colOff>
      <xdr:row>34</xdr:row>
      <xdr:rowOff>31579</xdr:rowOff>
    </xdr:from>
    <xdr:to>
      <xdr:col>4</xdr:col>
      <xdr:colOff>12224</xdr:colOff>
      <xdr:row>51</xdr:row>
      <xdr:rowOff>124282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xmlns="" id="{C4B8E7C0-F2C3-7792-03A6-894CBA5335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</xdr:colOff>
      <xdr:row>0</xdr:row>
      <xdr:rowOff>0</xdr:rowOff>
    </xdr:from>
    <xdr:to>
      <xdr:col>0</xdr:col>
      <xdr:colOff>1091045</xdr:colOff>
      <xdr:row>2</xdr:row>
      <xdr:rowOff>64178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827" r="23381"/>
        <a:stretch/>
      </xdr:blipFill>
      <xdr:spPr>
        <a:xfrm>
          <a:off x="1" y="0"/>
          <a:ext cx="1091044" cy="6147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C34"/>
  <sheetViews>
    <sheetView showGridLines="0" tabSelected="1" zoomScale="85" zoomScaleNormal="85" workbookViewId="0">
      <pane ySplit="6" topLeftCell="A7" activePane="bottomLeft" state="frozen"/>
      <selection pane="bottomLeft" activeCell="E32" sqref="E32"/>
    </sheetView>
  </sheetViews>
  <sheetFormatPr defaultColWidth="0" defaultRowHeight="14.25"/>
  <cols>
    <col min="1" max="1" width="16.5" customWidth="1"/>
    <col min="2" max="2" width="33.75" bestFit="1" customWidth="1"/>
    <col min="3" max="3" width="19.375" bestFit="1" customWidth="1"/>
    <col min="4" max="4" width="20.375" bestFit="1" customWidth="1"/>
    <col min="5" max="5" width="12" customWidth="1"/>
    <col min="6" max="16383" width="8.75" hidden="1"/>
    <col min="16384" max="16384" width="1.25" hidden="1"/>
  </cols>
  <sheetData>
    <row r="1" spans="1:4" ht="15" thickBot="1"/>
    <row r="2" spans="1:4" ht="28.5" customHeight="1">
      <c r="B2" s="70" t="s">
        <v>2</v>
      </c>
      <c r="C2" s="71"/>
      <c r="D2" s="72"/>
    </row>
    <row r="3" spans="1:4" ht="17.25">
      <c r="B3" s="57" t="s">
        <v>1</v>
      </c>
      <c r="C3" s="58"/>
      <c r="D3" s="14">
        <v>4000</v>
      </c>
    </row>
    <row r="4" spans="1:4" ht="17.25">
      <c r="B4" s="59" t="s">
        <v>32</v>
      </c>
      <c r="C4" s="60"/>
      <c r="D4" s="15">
        <v>6.0000000000000001E-3</v>
      </c>
    </row>
    <row r="5" spans="1:4" ht="18" thickBot="1">
      <c r="B5" s="61" t="s">
        <v>20</v>
      </c>
      <c r="C5" s="62"/>
      <c r="D5" s="16">
        <f>D3*30%</f>
        <v>1200</v>
      </c>
    </row>
    <row r="6" spans="1:4" ht="15" thickBot="1"/>
    <row r="7" spans="1:4" ht="28.5" customHeight="1">
      <c r="B7" s="67" t="s">
        <v>0</v>
      </c>
      <c r="C7" s="68"/>
      <c r="D7" s="69"/>
    </row>
    <row r="8" spans="1:4" ht="17.25">
      <c r="B8" s="57" t="s">
        <v>35</v>
      </c>
      <c r="C8" s="58"/>
      <c r="D8" s="51">
        <f>sugestao_investimento</f>
        <v>1200</v>
      </c>
    </row>
    <row r="9" spans="1:4" ht="17.25">
      <c r="B9" s="59" t="s">
        <v>23</v>
      </c>
      <c r="C9" s="60"/>
      <c r="D9" s="52">
        <v>10</v>
      </c>
    </row>
    <row r="10" spans="1:4" ht="17.25">
      <c r="B10" s="59" t="s">
        <v>29</v>
      </c>
      <c r="C10" s="60"/>
      <c r="D10" s="15">
        <v>1.0789999999999999E-2</v>
      </c>
    </row>
    <row r="11" spans="1:4" ht="17.25">
      <c r="B11" s="63" t="s">
        <v>22</v>
      </c>
      <c r="C11" s="64"/>
      <c r="D11" s="12">
        <f>FV(taxa_mensal,qtd_anos*12,-ABS(aporte))</f>
        <v>291941.05503620661</v>
      </c>
    </row>
    <row r="12" spans="1:4" ht="18" thickBot="1">
      <c r="B12" s="65" t="s">
        <v>21</v>
      </c>
      <c r="C12" s="66"/>
      <c r="D12" s="13">
        <f>patrimonio*rendimento_carteira</f>
        <v>1751.6463302172397</v>
      </c>
    </row>
    <row r="13" spans="1:4" ht="15" thickBot="1"/>
    <row r="14" spans="1:4" ht="29.25" customHeight="1">
      <c r="B14" s="28" t="s">
        <v>17</v>
      </c>
      <c r="C14" s="29" t="s">
        <v>33</v>
      </c>
      <c r="D14" s="4" t="s">
        <v>18</v>
      </c>
    </row>
    <row r="15" spans="1:4" ht="17.25">
      <c r="A15" s="1">
        <v>2</v>
      </c>
      <c r="B15" s="5" t="s">
        <v>28</v>
      </c>
      <c r="C15" s="6">
        <f>FV($D$10,$A15*12,-ABS($D$8))</f>
        <v>32673.152757174259</v>
      </c>
      <c r="D15" s="7">
        <f>C15*rendimento_carteira</f>
        <v>196.03891654304556</v>
      </c>
    </row>
    <row r="16" spans="1:4" ht="17.25">
      <c r="A16" s="1">
        <v>5</v>
      </c>
      <c r="B16" s="8" t="s">
        <v>27</v>
      </c>
      <c r="C16" s="6">
        <f t="shared" ref="C16:C19" si="0">FV($D$10,$A16*12,-ABS($D$8))</f>
        <v>100532.29679818517</v>
      </c>
      <c r="D16" s="9">
        <f>C16*rendimento_carteira</f>
        <v>603.19378078911097</v>
      </c>
    </row>
    <row r="17" spans="1:4" ht="17.25">
      <c r="A17" s="1">
        <v>10</v>
      </c>
      <c r="B17" s="8" t="s">
        <v>26</v>
      </c>
      <c r="C17" s="6">
        <f t="shared" si="0"/>
        <v>291941.05503620661</v>
      </c>
      <c r="D17" s="9">
        <f>C17*rendimento_carteira</f>
        <v>1751.6463302172397</v>
      </c>
    </row>
    <row r="18" spans="1:4" ht="17.25">
      <c r="A18" s="1">
        <v>20</v>
      </c>
      <c r="B18" s="8" t="s">
        <v>25</v>
      </c>
      <c r="C18" s="6">
        <f t="shared" si="0"/>
        <v>1350238.0801164967</v>
      </c>
      <c r="D18" s="9">
        <f>C18*rendimento_carteira</f>
        <v>8101.4284806989799</v>
      </c>
    </row>
    <row r="19" spans="1:4" ht="18" thickBot="1">
      <c r="A19" s="1">
        <v>30</v>
      </c>
      <c r="B19" s="10" t="s">
        <v>24</v>
      </c>
      <c r="C19" s="27">
        <f t="shared" si="0"/>
        <v>5186603.586005657</v>
      </c>
      <c r="D19" s="11">
        <f>C19*rendimento_carteira</f>
        <v>31119.621516033942</v>
      </c>
    </row>
    <row r="20" spans="1:4" ht="15" thickBot="1"/>
    <row r="21" spans="1:4" ht="30" customHeight="1">
      <c r="B21" s="67" t="s">
        <v>34</v>
      </c>
      <c r="C21" s="68"/>
      <c r="D21" s="69"/>
    </row>
    <row r="22" spans="1:4" s="22" customFormat="1" ht="7.5" customHeight="1">
      <c r="B22" s="46"/>
      <c r="C22" s="47"/>
      <c r="D22" s="48"/>
    </row>
    <row r="23" spans="1:4" s="44" customFormat="1" ht="17.25" customHeight="1">
      <c r="B23" s="54" t="s">
        <v>30</v>
      </c>
      <c r="C23" s="55" t="s">
        <v>5</v>
      </c>
      <c r="D23" s="56"/>
    </row>
    <row r="24" spans="1:4" s="22" customFormat="1" ht="6" customHeight="1">
      <c r="B24" s="45"/>
      <c r="C24" s="40"/>
      <c r="D24" s="39"/>
    </row>
    <row r="25" spans="1:4" ht="15">
      <c r="B25" s="49" t="s">
        <v>31</v>
      </c>
      <c r="C25" s="50">
        <f>aporte</f>
        <v>1200</v>
      </c>
      <c r="D25" s="53"/>
    </row>
    <row r="26" spans="1:4" s="22" customFormat="1" ht="6" customHeight="1">
      <c r="B26" s="41"/>
      <c r="C26" s="42"/>
      <c r="D26" s="43"/>
    </row>
    <row r="27" spans="1:4" ht="15">
      <c r="B27" s="30" t="s">
        <v>7</v>
      </c>
      <c r="C27" s="31" t="s">
        <v>8</v>
      </c>
      <c r="D27" s="32" t="s">
        <v>19</v>
      </c>
    </row>
    <row r="28" spans="1:4">
      <c r="B28" s="33" t="s">
        <v>9</v>
      </c>
      <c r="C28" s="34">
        <f>VLOOKUP($C$23&amp;"-"&amp;B28,'Investimento por perfil e tipo'!$A:$D,4,0)</f>
        <v>0.5</v>
      </c>
      <c r="D28" s="35">
        <f t="shared" ref="D28:D33" si="1">C28*$C$25</f>
        <v>600</v>
      </c>
    </row>
    <row r="29" spans="1:4">
      <c r="B29" s="33" t="s">
        <v>10</v>
      </c>
      <c r="C29" s="34">
        <f>VLOOKUP($C$23&amp;"-"&amp;B29,'Investimento por perfil e tipo'!$A:$D,4,0)</f>
        <v>0.1</v>
      </c>
      <c r="D29" s="35">
        <f t="shared" si="1"/>
        <v>120</v>
      </c>
    </row>
    <row r="30" spans="1:4">
      <c r="B30" s="33" t="s">
        <v>11</v>
      </c>
      <c r="C30" s="34">
        <f>VLOOKUP($C$23&amp;"-"&amp;B30,'Investimento por perfil e tipo'!$A:$D,4,0)</f>
        <v>0.05</v>
      </c>
      <c r="D30" s="35">
        <f t="shared" si="1"/>
        <v>60</v>
      </c>
    </row>
    <row r="31" spans="1:4">
      <c r="B31" s="33" t="s">
        <v>12</v>
      </c>
      <c r="C31" s="34">
        <f>VLOOKUP($C$23&amp;"-"&amp;B31,'Investimento por perfil e tipo'!$A:$D,4,0)</f>
        <v>0.05</v>
      </c>
      <c r="D31" s="35">
        <f t="shared" si="1"/>
        <v>60</v>
      </c>
    </row>
    <row r="32" spans="1:4">
      <c r="B32" s="33" t="s">
        <v>13</v>
      </c>
      <c r="C32" s="34">
        <f>VLOOKUP($C$23&amp;"-"&amp;B32,'Investimento por perfil e tipo'!$A:$D,4,0)</f>
        <v>0.2</v>
      </c>
      <c r="D32" s="35">
        <f t="shared" si="1"/>
        <v>240</v>
      </c>
    </row>
    <row r="33" spans="2:4">
      <c r="B33" s="33" t="s">
        <v>14</v>
      </c>
      <c r="C33" s="34">
        <f>VLOOKUP($C$23&amp;"-"&amp;B33,'Investimento por perfil e tipo'!$A:$D,4,0)</f>
        <v>0.1</v>
      </c>
      <c r="D33" s="35">
        <f t="shared" si="1"/>
        <v>120</v>
      </c>
    </row>
    <row r="34" spans="2:4" ht="15.75" thickBot="1">
      <c r="B34" s="36"/>
      <c r="C34" s="37"/>
      <c r="D34" s="38">
        <f>SUM(D28:D33)</f>
        <v>1200</v>
      </c>
    </row>
  </sheetData>
  <mergeCells count="11">
    <mergeCell ref="B12:C12"/>
    <mergeCell ref="B21:D21"/>
    <mergeCell ref="B2:D2"/>
    <mergeCell ref="B7:D7"/>
    <mergeCell ref="B3:C3"/>
    <mergeCell ref="B4:C4"/>
    <mergeCell ref="B5:C5"/>
    <mergeCell ref="B11:C11"/>
    <mergeCell ref="B8:C8"/>
    <mergeCell ref="B9:C9"/>
    <mergeCell ref="B10:C10"/>
  </mergeCells>
  <dataValidations count="1">
    <dataValidation type="list" allowBlank="1" showInputMessage="1" showErrorMessage="1" sqref="C23:C24">
      <formula1>"Conservador, Moderado, Agressivo"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21"/>
  <sheetViews>
    <sheetView showGridLines="0" zoomScale="115" zoomScaleNormal="115" workbookViewId="0">
      <selection activeCell="G4" sqref="G4:H4"/>
    </sheetView>
  </sheetViews>
  <sheetFormatPr defaultRowHeight="14.25"/>
  <cols>
    <col min="1" max="1" width="29.125" bestFit="1" customWidth="1"/>
    <col min="2" max="2" width="11.5" bestFit="1" customWidth="1"/>
    <col min="3" max="3" width="17.75" bestFit="1" customWidth="1"/>
    <col min="7" max="7" width="15.375" bestFit="1" customWidth="1"/>
  </cols>
  <sheetData>
    <row r="2" spans="1:8">
      <c r="A2" s="20" t="s">
        <v>16</v>
      </c>
      <c r="B2" s="20" t="s">
        <v>6</v>
      </c>
      <c r="C2" s="21" t="s">
        <v>7</v>
      </c>
      <c r="D2" s="21" t="s">
        <v>15</v>
      </c>
    </row>
    <row r="3" spans="1:8">
      <c r="A3" t="str">
        <f>B3&amp;"-"&amp;C3</f>
        <v>Conservador-PAPEL</v>
      </c>
      <c r="B3" t="s">
        <v>3</v>
      </c>
      <c r="C3" s="2" t="s">
        <v>9</v>
      </c>
      <c r="D3" s="3">
        <v>0.3</v>
      </c>
    </row>
    <row r="4" spans="1:8">
      <c r="A4" t="str">
        <f t="shared" ref="A4:A20" si="0">B4&amp;"-"&amp;C4</f>
        <v>Conservador-TIJOLO</v>
      </c>
      <c r="B4" t="s">
        <v>3</v>
      </c>
      <c r="C4" s="2" t="s">
        <v>10</v>
      </c>
      <c r="D4" s="3">
        <v>0.5</v>
      </c>
      <c r="G4" s="25"/>
      <c r="H4" s="26"/>
    </row>
    <row r="5" spans="1:8">
      <c r="A5" t="str">
        <f t="shared" si="0"/>
        <v>Conservador-HÍBRIDOS</v>
      </c>
      <c r="B5" t="s">
        <v>3</v>
      </c>
      <c r="C5" s="2" t="s">
        <v>11</v>
      </c>
      <c r="D5" s="3">
        <v>0.1</v>
      </c>
    </row>
    <row r="6" spans="1:8">
      <c r="A6" t="str">
        <f t="shared" si="0"/>
        <v>Conservador-FOFs</v>
      </c>
      <c r="B6" t="s">
        <v>3</v>
      </c>
      <c r="C6" s="2" t="s">
        <v>12</v>
      </c>
      <c r="D6" s="3">
        <v>0.1</v>
      </c>
    </row>
    <row r="7" spans="1:8">
      <c r="A7" t="str">
        <f t="shared" si="0"/>
        <v>Conservador-DESENVOLVIMENTO</v>
      </c>
      <c r="B7" t="s">
        <v>3</v>
      </c>
      <c r="C7" s="2" t="s">
        <v>13</v>
      </c>
      <c r="D7" s="3">
        <v>0</v>
      </c>
    </row>
    <row r="8" spans="1:8" ht="15" thickBot="1">
      <c r="A8" s="17" t="str">
        <f t="shared" si="0"/>
        <v>Conservador-HOTELARIAS</v>
      </c>
      <c r="B8" s="17" t="s">
        <v>3</v>
      </c>
      <c r="C8" s="18" t="s">
        <v>14</v>
      </c>
      <c r="D8" s="19">
        <v>0</v>
      </c>
    </row>
    <row r="9" spans="1:8">
      <c r="A9" t="str">
        <f t="shared" si="0"/>
        <v>Moderado-PAPEL</v>
      </c>
      <c r="B9" t="s">
        <v>4</v>
      </c>
      <c r="C9" s="2" t="s">
        <v>9</v>
      </c>
      <c r="D9" s="3">
        <v>0.32</v>
      </c>
    </row>
    <row r="10" spans="1:8" s="22" customFormat="1">
      <c r="A10" s="22" t="str">
        <f t="shared" si="0"/>
        <v>Moderado-TIJOLO</v>
      </c>
      <c r="B10" s="22" t="s">
        <v>4</v>
      </c>
      <c r="C10" s="23" t="s">
        <v>10</v>
      </c>
      <c r="D10" s="24">
        <v>0.35</v>
      </c>
    </row>
    <row r="11" spans="1:8">
      <c r="A11" t="str">
        <f t="shared" si="0"/>
        <v>Moderado-HÍBRIDOS</v>
      </c>
      <c r="B11" t="s">
        <v>4</v>
      </c>
      <c r="C11" s="2" t="s">
        <v>11</v>
      </c>
      <c r="D11" s="3">
        <v>0.08</v>
      </c>
    </row>
    <row r="12" spans="1:8">
      <c r="A12" t="str">
        <f t="shared" si="0"/>
        <v>Moderado-FOFs</v>
      </c>
      <c r="B12" t="s">
        <v>4</v>
      </c>
      <c r="C12" s="2" t="s">
        <v>12</v>
      </c>
      <c r="D12" s="3">
        <v>0.05</v>
      </c>
    </row>
    <row r="13" spans="1:8">
      <c r="A13" t="str">
        <f t="shared" si="0"/>
        <v>Moderado-DESENVOLVIMENTO</v>
      </c>
      <c r="B13" t="s">
        <v>4</v>
      </c>
      <c r="C13" s="2" t="s">
        <v>13</v>
      </c>
      <c r="D13" s="3">
        <v>0.1</v>
      </c>
    </row>
    <row r="14" spans="1:8" ht="15" thickBot="1">
      <c r="A14" s="17" t="str">
        <f t="shared" si="0"/>
        <v>Moderado-HOTELARIAS</v>
      </c>
      <c r="B14" s="17" t="s">
        <v>4</v>
      </c>
      <c r="C14" s="18" t="s">
        <v>14</v>
      </c>
      <c r="D14" s="19">
        <v>0.1</v>
      </c>
    </row>
    <row r="15" spans="1:8">
      <c r="A15" t="str">
        <f t="shared" si="0"/>
        <v>Agressivo-PAPEL</v>
      </c>
      <c r="B15" t="s">
        <v>5</v>
      </c>
      <c r="C15" s="2" t="s">
        <v>9</v>
      </c>
      <c r="D15" s="3">
        <v>0.5</v>
      </c>
    </row>
    <row r="16" spans="1:8">
      <c r="A16" t="str">
        <f t="shared" si="0"/>
        <v>Agressivo-TIJOLO</v>
      </c>
      <c r="B16" t="s">
        <v>5</v>
      </c>
      <c r="C16" s="2" t="s">
        <v>10</v>
      </c>
      <c r="D16" s="3">
        <v>0.1</v>
      </c>
    </row>
    <row r="17" spans="1:4">
      <c r="A17" t="str">
        <f t="shared" si="0"/>
        <v>Agressivo-HÍBRIDOS</v>
      </c>
      <c r="B17" t="s">
        <v>5</v>
      </c>
      <c r="C17" s="2" t="s">
        <v>11</v>
      </c>
      <c r="D17" s="3">
        <v>0.05</v>
      </c>
    </row>
    <row r="18" spans="1:4">
      <c r="A18" t="str">
        <f t="shared" si="0"/>
        <v>Agressivo-FOFs</v>
      </c>
      <c r="B18" t="s">
        <v>5</v>
      </c>
      <c r="C18" s="2" t="s">
        <v>12</v>
      </c>
      <c r="D18" s="3">
        <v>0.05</v>
      </c>
    </row>
    <row r="19" spans="1:4">
      <c r="A19" t="str">
        <f t="shared" si="0"/>
        <v>Agressivo-DESENVOLVIMENTO</v>
      </c>
      <c r="B19" t="s">
        <v>5</v>
      </c>
      <c r="C19" s="2" t="s">
        <v>13</v>
      </c>
      <c r="D19" s="3">
        <v>0.2</v>
      </c>
    </row>
    <row r="20" spans="1:4">
      <c r="A20" t="str">
        <f t="shared" si="0"/>
        <v>Agressivo-HOTELARIAS</v>
      </c>
      <c r="B20" t="s">
        <v>5</v>
      </c>
      <c r="C20" s="2" t="s">
        <v>14</v>
      </c>
      <c r="D20" s="3">
        <v>0.1</v>
      </c>
    </row>
    <row r="21" spans="1:4">
      <c r="D21" s="2"/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4D0D6DD-E6DB-45C8-8F90-E314C090C085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C32110DE-3D77-470C-9CED-65521C30E3F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BBC473-00BC-48E4-BFA3-FE8E2B1F00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10</vt:i4>
      </vt:variant>
    </vt:vector>
  </HeadingPairs>
  <TitlesOfParts>
    <vt:vector size="12" baseType="lpstr">
      <vt:lpstr>INVEST PLANNER</vt:lpstr>
      <vt:lpstr>Investimento por perfil e tipo</vt:lpstr>
      <vt:lpstr>anos</vt:lpstr>
      <vt:lpstr>aporte</vt:lpstr>
      <vt:lpstr>investimento</vt:lpstr>
      <vt:lpstr>investimento_mensal</vt:lpstr>
      <vt:lpstr>patrimonio</vt:lpstr>
      <vt:lpstr>qtd_anos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Silva Aguiar</dc:creator>
  <cp:lastModifiedBy>Cliente</cp:lastModifiedBy>
  <dcterms:created xsi:type="dcterms:W3CDTF">2025-04-16T18:38:03Z</dcterms:created>
  <dcterms:modified xsi:type="dcterms:W3CDTF">2026-02-11T00:58:44Z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